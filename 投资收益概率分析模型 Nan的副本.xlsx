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119F5A5-D7AF-49A4-9D26-200BA4AAB4D9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使用说明" sheetId="1" r:id="rId1"/>
    <sheet name="参数输入" sheetId="2" r:id="rId2"/>
    <sheet name="A公司分析" sheetId="3" r:id="rId3"/>
    <sheet name="B公司分析" sheetId="4" r:id="rId4"/>
    <sheet name="组合配置与结论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5" l="1"/>
  <c r="B23" i="5"/>
  <c r="D22" i="5"/>
  <c r="B22" i="5"/>
  <c r="D21" i="5"/>
  <c r="B21" i="5"/>
  <c r="E7" i="5"/>
  <c r="C31" i="4"/>
  <c r="B31" i="4"/>
  <c r="B30" i="4"/>
  <c r="B29" i="4"/>
  <c r="C26" i="4"/>
  <c r="B26" i="4"/>
  <c r="B25" i="4"/>
  <c r="B24" i="4"/>
  <c r="B21" i="4"/>
  <c r="C24" i="4" s="1"/>
  <c r="B19" i="4"/>
  <c r="B18" i="4"/>
  <c r="C10" i="4"/>
  <c r="B10" i="4"/>
  <c r="D10" i="4" s="1"/>
  <c r="C9" i="4"/>
  <c r="C30" i="4" s="1"/>
  <c r="B9" i="4"/>
  <c r="D9" i="4" s="1"/>
  <c r="C8" i="4"/>
  <c r="C29" i="4" s="1"/>
  <c r="B8" i="4"/>
  <c r="C7" i="4"/>
  <c r="C28" i="4" s="1"/>
  <c r="B7" i="4"/>
  <c r="B28" i="4" s="1"/>
  <c r="C6" i="4"/>
  <c r="C27" i="4" s="1"/>
  <c r="B6" i="4"/>
  <c r="B27" i="4" s="1"/>
  <c r="D5" i="4"/>
  <c r="C5" i="4"/>
  <c r="B5" i="4"/>
  <c r="C4" i="4"/>
  <c r="C25" i="4" s="1"/>
  <c r="B4" i="4"/>
  <c r="D4" i="4" s="1"/>
  <c r="B19" i="3"/>
  <c r="B17" i="3"/>
  <c r="C10" i="3"/>
  <c r="A10" i="3"/>
  <c r="D10" i="3" s="1"/>
  <c r="E10" i="3" s="1"/>
  <c r="D9" i="3"/>
  <c r="E9" i="3" s="1"/>
  <c r="F9" i="3" s="1"/>
  <c r="C9" i="3"/>
  <c r="B9" i="3"/>
  <c r="A9" i="3"/>
  <c r="D8" i="3"/>
  <c r="E8" i="3" s="1"/>
  <c r="C8" i="3"/>
  <c r="F8" i="3" s="1"/>
  <c r="B8" i="3"/>
  <c r="A8" i="3"/>
  <c r="C7" i="3"/>
  <c r="B7" i="3"/>
  <c r="A7" i="3"/>
  <c r="D7" i="3" s="1"/>
  <c r="E7" i="3" s="1"/>
  <c r="F7" i="3" s="1"/>
  <c r="D6" i="3"/>
  <c r="E6" i="3" s="1"/>
  <c r="C6" i="3"/>
  <c r="B6" i="3"/>
  <c r="A6" i="3"/>
  <c r="C5" i="3"/>
  <c r="B5" i="3"/>
  <c r="A5" i="3"/>
  <c r="D5" i="3" s="1"/>
  <c r="E5" i="3" s="1"/>
  <c r="D4" i="3"/>
  <c r="E4" i="3" s="1"/>
  <c r="F4" i="3" s="1"/>
  <c r="C4" i="3"/>
  <c r="B4" i="3"/>
  <c r="A4" i="3"/>
  <c r="B29" i="2"/>
  <c r="B16" i="2"/>
  <c r="B6" i="2"/>
  <c r="F6" i="3" l="1"/>
  <c r="F10" i="3"/>
  <c r="F5" i="3"/>
  <c r="F11" i="3" s="1"/>
  <c r="B14" i="3" s="1"/>
  <c r="B18" i="3"/>
  <c r="D6" i="4"/>
  <c r="D11" i="4" s="1"/>
  <c r="B14" i="4" s="1"/>
  <c r="B15" i="4" s="1"/>
  <c r="B20" i="4"/>
  <c r="D8" i="4"/>
  <c r="C11" i="3"/>
  <c r="D7" i="4"/>
  <c r="B11" i="4"/>
  <c r="B16" i="4" l="1"/>
  <c r="B17" i="4"/>
  <c r="B32" i="4"/>
  <c r="B16" i="3"/>
  <c r="B15" i="3"/>
  <c r="B21" i="3" s="1"/>
  <c r="A26" i="5" l="1"/>
  <c r="B5" i="5"/>
  <c r="B7" i="5" l="1"/>
  <c r="B6" i="5"/>
  <c r="A30" i="5" s="1"/>
  <c r="B8" i="5" l="1"/>
  <c r="B10" i="5" s="1"/>
  <c r="B17" i="5"/>
  <c r="B9" i="5"/>
  <c r="C21" i="5" l="1"/>
  <c r="C22" i="5"/>
  <c r="B13" i="5"/>
  <c r="C23" i="5"/>
  <c r="E22" i="5"/>
  <c r="B14" i="5"/>
  <c r="E23" i="5"/>
  <c r="E21" i="5"/>
  <c r="A27" i="5"/>
  <c r="F23" i="5" l="1"/>
  <c r="B15" i="5"/>
  <c r="B16" i="5" s="1"/>
  <c r="F22" i="5"/>
  <c r="G22" i="5" s="1"/>
  <c r="F21" i="5"/>
  <c r="G21" i="5" l="1"/>
  <c r="A28" i="5" s="1"/>
  <c r="G23" i="5"/>
  <c r="A29" i="5" s="1"/>
</calcChain>
</file>

<file path=xl/sharedStrings.xml><?xml version="1.0" encoding="utf-8"?>
<sst xmlns="http://schemas.openxmlformats.org/spreadsheetml/2006/main" count="128" uniqueCount="123">
  <si>
    <t>投资收益概率分析模型 · 使用说明</t>
  </si>
  <si>
    <t>如何使用</t>
  </si>
  <si>
    <t>1. 本工作簿所有蓝色字体单元格均为可修改参数：价格、累积概率、回报倍数、配置比例等，改完其余各表自动重算。</t>
  </si>
  <si>
    <t>2. 修改「参数输入」表中的概率后，「A公司分析」「B公司分析」「组合配置与结论」全部自动更新。</t>
  </si>
  <si>
    <t>3. 概率统一采用累积概率口径：表示「期末价格 ≥ 该价位（或回报倍数 ≥ 该倍数）」的概率；区间概率由模型自动相邻相减得到。</t>
  </si>
  <si>
    <t>4. 「组合配置与结论」表可选择风险偏好（稳健 / 平衡 / 进取，B4 单元格下拉选择），推荐比例由评分法「期望年化收益 − λ×年化波动率」自动计算（λ 系数可在 D/E 列调整）；A 公司实际配置默认自动跟随推荐，如需自定义可直接输入覆盖。</t>
  </si>
  <si>
    <t>模型口径</t>
  </si>
  <si>
    <t>A公司（已上市）：现价 200 元，以 200 元建仓 100 万元（5,000 股），预测 2 年后股价分布；区间收益率按区间下限保守估计，即收益率 = 下限价 ÷ 200 − 1。</t>
  </si>
  <si>
    <t>B公司（Pre-IPO）：明年申报、后年上市、上市后锁定 1 年方可卖出（约 3 年后退出）；上市成功率 60%，不成功则退还本金并按每年 6% 利息补偿（利率可调、按退出期限复利），成功时按回报倍数分布计算。</t>
  </si>
  <si>
    <t>组合结论综合「期望年化收益率对比 + 悲观情景底线测试」自动给出，并提示 B 公司的仓位纪律。</t>
  </si>
  <si>
    <t>风险提示：所有概率均为预测假设，模型结果仅供决策参考，不构成投资建议。</t>
  </si>
  <si>
    <t>参数输入（蓝色字体可修改，黑色与绿色为自动计算）</t>
  </si>
  <si>
    <t>【A公司 · 已上市股票】</t>
  </si>
  <si>
    <t>当前股价（元）</t>
  </si>
  <si>
    <t>买入价 = 建仓成本基准</t>
  </si>
  <si>
    <t>投入本金（元）</t>
  </si>
  <si>
    <t>持有股数（股）</t>
  </si>
  <si>
    <t>预测期限（年）</t>
  </si>
  <si>
    <t>目标价格（元）</t>
  </si>
  <si>
    <t>累积概率（≥该价）</t>
  </si>
  <si>
    <t>含义：两年后价格不低于左侧行价格的概率</t>
  </si>
  <si>
    <t>概率合计（应为100%）</t>
  </si>
  <si>
    <t>【B公司 · Pre-IPO股权投资】</t>
  </si>
  <si>
    <t>上市成功概率</t>
  </si>
  <si>
    <t>明年申报、后年上市</t>
  </si>
  <si>
    <t>失败时年化补偿利率</t>
  </si>
  <si>
    <t>上市不成功则退还本金，并按该年利率随退出期限复利计息</t>
  </si>
  <si>
    <t>退出期限（年）</t>
  </si>
  <si>
    <t>申报1年 + 上市 + 锁定1年</t>
  </si>
  <si>
    <t>回报倍数（倍）</t>
  </si>
  <si>
    <t>累积概率（≥该倍数）</t>
  </si>
  <si>
    <t>含义：上市成功、锁定期满时可卖价格不低于成本倍数的概率</t>
  </si>
  <si>
    <t>未达3倍时的假设回报倍数</t>
  </si>
  <si>
    <t>上市成功但回报不足3倍时，按该倍数（即接近保本）估计</t>
  </si>
  <si>
    <t>A公司收益分析（持有2年后的股价情景）</t>
  </si>
  <si>
    <t>价格下限（元）</t>
  </si>
  <si>
    <t>价格上限（元）</t>
  </si>
  <si>
    <t>区间概率</t>
  </si>
  <si>
    <t>区间收益率</t>
  </si>
  <si>
    <t>期末价值（元）</t>
  </si>
  <si>
    <t>概率加权价值（元）</t>
  </si>
  <si>
    <t>500 以上</t>
  </si>
  <si>
    <t>合计</t>
  </si>
  <si>
    <t>期望期末价值 →</t>
  </si>
  <si>
    <t>核心结果</t>
  </si>
  <si>
    <t>期望期末价值（元）</t>
  </si>
  <si>
    <t>期望总收益率</t>
  </si>
  <si>
    <t>期望年化收益率</t>
  </si>
  <si>
    <t>中位数价格（50%概率达到）</t>
  </si>
  <si>
    <t>最可能价格区间（元）</t>
  </si>
  <si>
    <t>跌破买入价的概率</t>
  </si>
  <si>
    <t>按当前假设，最低价即买入价200元</t>
  </si>
  <si>
    <t>年化波动率（风险度量）</t>
  </si>
  <si>
    <t>各区间收益率的标准差折算为年化，供组合评分使用</t>
  </si>
  <si>
    <t>B公司收益分析（Pre-IPO · 约3年后退出）</t>
  </si>
  <si>
    <t>回报倍数区间（上市成功时）</t>
  </si>
  <si>
    <t>代表倍数</t>
  </si>
  <si>
    <t>概率加权回报</t>
  </si>
  <si>
    <t>低于3倍（按假设倍数）</t>
  </si>
  <si>
    <t>3 - 4 倍</t>
  </si>
  <si>
    <t>4 - 5 倍</t>
  </si>
  <si>
    <t>5 - 6 倍</t>
  </si>
  <si>
    <t>6 - 7 倍</t>
  </si>
  <si>
    <t>7 - 8 倍</t>
  </si>
  <si>
    <t>8 倍及以上</t>
  </si>
  <si>
    <t>期望倍数 →</t>
  </si>
  <si>
    <t>上市成功时期望回报倍数</t>
  </si>
  <si>
    <t>综合期望回报倍数（含失败情形）</t>
  </si>
  <si>
    <t>综合期望总收益率</t>
  </si>
  <si>
    <t>综合期望年化收益率</t>
  </si>
  <si>
    <t>上市失败概率</t>
  </si>
  <si>
    <t>上市失败时期望回收金额（元）</t>
  </si>
  <si>
    <t>指每100万投入的回收额（本金+利息）</t>
  </si>
  <si>
    <t>最可能回报区间</t>
  </si>
  <si>
    <t>失败时本金回收倍数（含补偿利息）</t>
  </si>
  <si>
    <t>=（1+年利率）^退出期限，复利</t>
  </si>
  <si>
    <t>联合分布（上市失败 + 上市成功，用于风险度量）</t>
  </si>
  <si>
    <t>上市失败（退还本金+利息）</t>
  </si>
  <si>
    <t>低于3倍（上市成功）</t>
  </si>
  <si>
    <t>3-4倍（上市成功）</t>
  </si>
  <si>
    <t>4-5倍（上市成功）</t>
  </si>
  <si>
    <t>5-6倍（上市成功）</t>
  </si>
  <si>
    <t>6-7倍（上市成功）</t>
  </si>
  <si>
    <t>7-8倍（上市成功）</t>
  </si>
  <si>
    <t>8倍及以上（上市成功）</t>
  </si>
  <si>
    <t>含上市失败情形的整体标准差折算为年化</t>
  </si>
  <si>
    <t>组合配置与自动结论（总本金取自参数输入表）</t>
  </si>
  <si>
    <t>第一步：设置风险偏好与配置（推荐比例由评分法自动计算）</t>
  </si>
  <si>
    <t>风险偏好（稳健 / 平衡 / 进取）</t>
  </si>
  <si>
    <t>平衡</t>
  </si>
  <si>
    <t>点击B4下拉选择；右侧D/E列可调风险厌恶系数λ</t>
  </si>
  <si>
    <t>λ-稳健</t>
  </si>
  <si>
    <t>A公司推荐配置比例（评分法）</t>
  </si>
  <si>
    <t>评分 = 期望年化收益 − λ×年化波动率</t>
  </si>
  <si>
    <t>λ-平衡</t>
  </si>
  <si>
    <t>B公司推荐配置比例</t>
  </si>
  <si>
    <t>= 1 − A公司推荐比例（限10%~90%）</t>
  </si>
  <si>
    <t>λ-进取</t>
  </si>
  <si>
    <t>A公司实际配置比例（自动跟随推荐）</t>
  </si>
  <si>
    <t>如需手动覆盖，直接在本格输入比例即可</t>
  </si>
  <si>
    <t>当前λ</t>
  </si>
  <si>
    <t>B公司实际配置比例</t>
  </si>
  <si>
    <t>A公司投入金额（元）</t>
  </si>
  <si>
    <t>B公司投入金额（元）</t>
  </si>
  <si>
    <t>第二步：组合期望收益</t>
  </si>
  <si>
    <t>A部分期望期末价值（2年后）</t>
  </si>
  <si>
    <t>B部分期望期末价值（3年后）</t>
  </si>
  <si>
    <t>组合期望期末价值（元）</t>
  </si>
  <si>
    <t>组合期望总收益率</t>
  </si>
  <si>
    <t>加权平均期望年化收益率</t>
  </si>
  <si>
    <t>第三步：情景分析</t>
  </si>
  <si>
    <t>情景</t>
  </si>
  <si>
    <t>A公司价格</t>
  </si>
  <si>
    <t>A部分期末（元）</t>
  </si>
  <si>
    <t>B公司倍数</t>
  </si>
  <si>
    <t>B部分期末（元）</t>
  </si>
  <si>
    <t>组合期末（元）</t>
  </si>
  <si>
    <t>组合总收益率</t>
  </si>
  <si>
    <t>悲观（A跌至250元 / B失败退本息）</t>
  </si>
  <si>
    <t>中性（A达中位数350元 / B达4倍）</t>
  </si>
  <si>
    <t>乐观（A达450元 / B达6倍）</t>
  </si>
  <si>
    <t>自动结论（随上方参数实时更新）</t>
  </si>
  <si>
    <t>提示：修改任意蓝色参数后本表结论自动更新；概率为预测假设，仅供决策参考，不构成投资建议。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</si>
</sst>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\x"/>
    <numFmt numFmtId="178" formatCode="&quot;¥&quot;#,##0;\(&quot;¥&quot;#,##0\);&quot;-&quot;"/>
  </numFmts>
  <fonts count="7">
    <font>
      <sz val="11"/>
      <name val="Calibri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9"/>
      <name val="Alibaba PuHuiTi B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76" fontId="1" fillId="0" borderId="0" xfId="0" applyNumberFormat="1" applyFont="1"/>
    <xf numFmtId="176" fontId="2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178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3" fontId="3" fillId="0" borderId="0" xfId="0" applyNumberFormat="1" applyFont="1"/>
    <xf numFmtId="178" fontId="2" fillId="0" borderId="0" xfId="0" applyNumberFormat="1" applyFont="1"/>
    <xf numFmtId="177" fontId="2" fillId="0" borderId="0" xfId="0" applyNumberFormat="1" applyFont="1"/>
    <xf numFmtId="177" fontId="1" fillId="0" borderId="0" xfId="0" applyNumberFormat="1" applyFont="1"/>
    <xf numFmtId="0" fontId="5" fillId="0" borderId="0" xfId="0" applyFont="1" applyAlignment="1">
      <alignment vertical="center"/>
    </xf>
    <xf numFmtId="178" fontId="4" fillId="0" borderId="0" xfId="0" applyNumberFormat="1" applyFont="1"/>
    <xf numFmtId="176" fontId="4" fillId="0" borderId="0" xfId="0" applyNumberFormat="1" applyFont="1"/>
    <xf numFmtId="177" fontId="4" fillId="0" borderId="0" xfId="0" applyNumberFormat="1" applyFont="1"/>
    <xf numFmtId="178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4" sqref="A4"/>
    </sheetView>
  </sheetViews>
  <sheetFormatPr defaultColWidth="8.81640625" defaultRowHeight="14.5"/>
  <cols>
    <col min="1" max="1" width="110" customWidth="1"/>
  </cols>
  <sheetData>
    <row r="1" spans="1:1" ht="24" customHeight="1">
      <c r="A1" s="15" t="s">
        <v>0</v>
      </c>
    </row>
    <row r="3" spans="1:1">
      <c r="A3" s="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s="3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4" spans="1:1">
      <c r="A14" t="s">
        <v>10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13" workbookViewId="0">
      <selection activeCell="C13" sqref="C13"/>
    </sheetView>
  </sheetViews>
  <sheetFormatPr defaultColWidth="8.81640625" defaultRowHeight="14.5"/>
  <cols>
    <col min="1" max="1" width="36" customWidth="1"/>
    <col min="2" max="2" width="20" customWidth="1"/>
    <col min="3" max="3" width="34" customWidth="1"/>
  </cols>
  <sheetData>
    <row r="1" spans="1:3" ht="24" customHeight="1">
      <c r="A1" s="15" t="s">
        <v>11</v>
      </c>
    </row>
    <row r="3" spans="1:3">
      <c r="A3" s="3" t="s">
        <v>12</v>
      </c>
    </row>
    <row r="4" spans="1:3">
      <c r="A4" t="s">
        <v>13</v>
      </c>
      <c r="B4" s="6">
        <v>200</v>
      </c>
      <c r="C4" t="s">
        <v>14</v>
      </c>
    </row>
    <row r="5" spans="1:3">
      <c r="A5" t="s">
        <v>15</v>
      </c>
      <c r="B5" s="19">
        <v>1000000</v>
      </c>
    </row>
    <row r="6" spans="1:3">
      <c r="A6" t="s">
        <v>16</v>
      </c>
      <c r="B6" s="7">
        <f>B5/B4</f>
        <v>5000</v>
      </c>
    </row>
    <row r="7" spans="1:3">
      <c r="A7" t="s">
        <v>17</v>
      </c>
      <c r="B7" s="6">
        <v>2</v>
      </c>
    </row>
    <row r="8" spans="1:3">
      <c r="A8" s="3" t="s">
        <v>18</v>
      </c>
      <c r="B8" s="3" t="s">
        <v>19</v>
      </c>
      <c r="C8" t="s">
        <v>20</v>
      </c>
    </row>
    <row r="9" spans="1:3">
      <c r="A9" s="6">
        <v>200</v>
      </c>
      <c r="B9" s="4">
        <v>1</v>
      </c>
    </row>
    <row r="10" spans="1:3">
      <c r="A10" s="6">
        <v>250</v>
      </c>
      <c r="B10" s="4">
        <v>0.95</v>
      </c>
    </row>
    <row r="11" spans="1:3">
      <c r="A11" s="6">
        <v>300</v>
      </c>
      <c r="B11" s="4">
        <v>0.75</v>
      </c>
    </row>
    <row r="12" spans="1:3">
      <c r="A12" s="6">
        <v>350</v>
      </c>
      <c r="B12" s="4">
        <v>0.5</v>
      </c>
    </row>
    <row r="13" spans="1:3">
      <c r="A13" s="6">
        <v>400</v>
      </c>
      <c r="B13" s="4">
        <v>0.3</v>
      </c>
    </row>
    <row r="14" spans="1:3">
      <c r="A14" s="6">
        <v>450</v>
      </c>
      <c r="B14" s="4">
        <v>0.2</v>
      </c>
    </row>
    <row r="15" spans="1:3">
      <c r="A15" s="6">
        <v>500</v>
      </c>
      <c r="B15" s="4">
        <v>0.1</v>
      </c>
    </row>
    <row r="16" spans="1:3">
      <c r="A16" t="s">
        <v>21</v>
      </c>
      <c r="B16" s="5">
        <f>SUM(B9:B15)</f>
        <v>3.8000000000000003</v>
      </c>
    </row>
    <row r="18" spans="1:3">
      <c r="A18" s="3" t="s">
        <v>22</v>
      </c>
    </row>
    <row r="19" spans="1:3">
      <c r="A19" t="s">
        <v>23</v>
      </c>
      <c r="B19" s="4">
        <v>0.6</v>
      </c>
      <c r="C19" t="s">
        <v>24</v>
      </c>
    </row>
    <row r="20" spans="1:3">
      <c r="A20" t="s">
        <v>25</v>
      </c>
      <c r="B20" s="4">
        <v>0.06</v>
      </c>
      <c r="C20" t="s">
        <v>26</v>
      </c>
    </row>
    <row r="21" spans="1:3">
      <c r="A21" t="s">
        <v>27</v>
      </c>
      <c r="B21" s="6">
        <v>3</v>
      </c>
      <c r="C21" t="s">
        <v>28</v>
      </c>
    </row>
    <row r="22" spans="1:3">
      <c r="A22" s="3" t="s">
        <v>29</v>
      </c>
      <c r="B22" s="3" t="s">
        <v>30</v>
      </c>
      <c r="C22" t="s">
        <v>31</v>
      </c>
    </row>
    <row r="23" spans="1:3">
      <c r="A23" s="6">
        <v>3</v>
      </c>
      <c r="B23" s="4">
        <v>0.9</v>
      </c>
    </row>
    <row r="24" spans="1:3">
      <c r="A24" s="6">
        <v>4</v>
      </c>
      <c r="B24" s="4">
        <v>0.7</v>
      </c>
    </row>
    <row r="25" spans="1:3">
      <c r="A25" s="6">
        <v>5</v>
      </c>
      <c r="B25" s="4">
        <v>0.5</v>
      </c>
    </row>
    <row r="26" spans="1:3">
      <c r="A26" s="6">
        <v>6</v>
      </c>
      <c r="B26" s="4">
        <v>0.4</v>
      </c>
    </row>
    <row r="27" spans="1:3">
      <c r="A27" s="6">
        <v>7</v>
      </c>
      <c r="B27" s="4">
        <v>0.3</v>
      </c>
    </row>
    <row r="28" spans="1:3">
      <c r="A28" s="6">
        <v>8</v>
      </c>
      <c r="B28" s="4">
        <v>0.2</v>
      </c>
    </row>
    <row r="29" spans="1:3">
      <c r="A29" t="s">
        <v>21</v>
      </c>
      <c r="B29" s="5">
        <f>SUM(B23:B28)</f>
        <v>3</v>
      </c>
    </row>
    <row r="30" spans="1:3">
      <c r="A30" t="s">
        <v>32</v>
      </c>
      <c r="B30" s="14">
        <v>1</v>
      </c>
      <c r="C30" t="s">
        <v>33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ColWidth="8.81640625" defaultRowHeight="14.5"/>
  <cols>
    <col min="1" max="1" width="30" customWidth="1"/>
    <col min="2" max="6" width="16" customWidth="1"/>
  </cols>
  <sheetData>
    <row r="1" spans="1:6" ht="24" customHeight="1">
      <c r="A1" s="15" t="s">
        <v>34</v>
      </c>
    </row>
    <row r="3" spans="1:6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</row>
    <row r="4" spans="1:6">
      <c r="A4" s="11">
        <f>参数输入!A9</f>
        <v>200</v>
      </c>
      <c r="B4" s="11">
        <f>参数输入!A10</f>
        <v>250</v>
      </c>
      <c r="C4" s="9">
        <f>参数输入!B9-参数输入!B10</f>
        <v>5.0000000000000044E-2</v>
      </c>
      <c r="D4" s="9">
        <f>A4/参数输入!B4-1</f>
        <v>0</v>
      </c>
      <c r="E4" s="8">
        <f>参数输入!B5*(1+D4)</f>
        <v>1000000</v>
      </c>
      <c r="F4" s="12">
        <f t="shared" ref="F4:F10" si="0">C4*E4</f>
        <v>50000.000000000044</v>
      </c>
    </row>
    <row r="5" spans="1:6">
      <c r="A5" s="11">
        <f>参数输入!A10</f>
        <v>250</v>
      </c>
      <c r="B5" s="11">
        <f>参数输入!A11</f>
        <v>300</v>
      </c>
      <c r="C5" s="9">
        <f>参数输入!B10-参数输入!B11</f>
        <v>0.19999999999999996</v>
      </c>
      <c r="D5" s="9">
        <f>A5/参数输入!B4-1</f>
        <v>0.25</v>
      </c>
      <c r="E5" s="8">
        <f>参数输入!B5*(1+D5)</f>
        <v>1250000</v>
      </c>
      <c r="F5" s="12">
        <f t="shared" si="0"/>
        <v>249999.99999999994</v>
      </c>
    </row>
    <row r="6" spans="1:6">
      <c r="A6" s="11">
        <f>参数输入!A11</f>
        <v>300</v>
      </c>
      <c r="B6" s="11">
        <f>参数输入!A12</f>
        <v>350</v>
      </c>
      <c r="C6" s="9">
        <f>参数输入!B11-参数输入!B12</f>
        <v>0.25</v>
      </c>
      <c r="D6" s="9">
        <f>A6/参数输入!B4-1</f>
        <v>0.5</v>
      </c>
      <c r="E6" s="8">
        <f>参数输入!B5*(1+D6)</f>
        <v>1500000</v>
      </c>
      <c r="F6" s="12">
        <f t="shared" si="0"/>
        <v>375000</v>
      </c>
    </row>
    <row r="7" spans="1:6">
      <c r="A7" s="11">
        <f>参数输入!A12</f>
        <v>350</v>
      </c>
      <c r="B7" s="11">
        <f>参数输入!A13</f>
        <v>400</v>
      </c>
      <c r="C7" s="9">
        <f>参数输入!B12-参数输入!B13</f>
        <v>0.2</v>
      </c>
      <c r="D7" s="9">
        <f>A7/参数输入!B4-1</f>
        <v>0.75</v>
      </c>
      <c r="E7" s="8">
        <f>参数输入!B5*(1+D7)</f>
        <v>1750000</v>
      </c>
      <c r="F7" s="12">
        <f t="shared" si="0"/>
        <v>350000</v>
      </c>
    </row>
    <row r="8" spans="1:6">
      <c r="A8" s="11">
        <f>参数输入!A13</f>
        <v>400</v>
      </c>
      <c r="B8" s="11">
        <f>参数输入!A14</f>
        <v>450</v>
      </c>
      <c r="C8" s="9">
        <f>参数输入!B13-参数输入!B14</f>
        <v>9.9999999999999978E-2</v>
      </c>
      <c r="D8" s="9">
        <f>A8/参数输入!B4-1</f>
        <v>1</v>
      </c>
      <c r="E8" s="8">
        <f>参数输入!B5*(1+D8)</f>
        <v>2000000</v>
      </c>
      <c r="F8" s="12">
        <f t="shared" si="0"/>
        <v>199999.99999999994</v>
      </c>
    </row>
    <row r="9" spans="1:6">
      <c r="A9" s="11">
        <f>参数输入!A14</f>
        <v>450</v>
      </c>
      <c r="B9" s="11">
        <f>参数输入!A15</f>
        <v>500</v>
      </c>
      <c r="C9" s="9">
        <f>参数输入!B14-参数输入!B15</f>
        <v>0.1</v>
      </c>
      <c r="D9" s="9">
        <f>A9/参数输入!B4-1</f>
        <v>1.25</v>
      </c>
      <c r="E9" s="8">
        <f>参数输入!B5*(1+D9)</f>
        <v>2250000</v>
      </c>
      <c r="F9" s="12">
        <f t="shared" si="0"/>
        <v>225000</v>
      </c>
    </row>
    <row r="10" spans="1:6">
      <c r="A10" s="11">
        <f>参数输入!A15</f>
        <v>500</v>
      </c>
      <c r="B10" t="s">
        <v>41</v>
      </c>
      <c r="C10" s="9">
        <f>参数输入!B15</f>
        <v>0.1</v>
      </c>
      <c r="D10" s="9">
        <f>A10/参数输入!B4-1</f>
        <v>1.5</v>
      </c>
      <c r="E10" s="8">
        <f>参数输入!B5*(1+D10)</f>
        <v>2500000</v>
      </c>
      <c r="F10" s="12">
        <f t="shared" si="0"/>
        <v>250000</v>
      </c>
    </row>
    <row r="11" spans="1:6">
      <c r="A11" s="3" t="s">
        <v>42</v>
      </c>
      <c r="C11" s="5">
        <f>SUM(C4:C10)</f>
        <v>0.99999999999999989</v>
      </c>
      <c r="D11" t="s">
        <v>43</v>
      </c>
      <c r="F11" s="16">
        <f>SUM(F4:F10)</f>
        <v>1700000</v>
      </c>
    </row>
    <row r="13" spans="1:6">
      <c r="A13" s="3" t="s">
        <v>44</v>
      </c>
    </row>
    <row r="14" spans="1:6">
      <c r="A14" t="s">
        <v>45</v>
      </c>
      <c r="B14" s="16">
        <f>F11</f>
        <v>1700000</v>
      </c>
    </row>
    <row r="15" spans="1:6">
      <c r="A15" t="s">
        <v>46</v>
      </c>
      <c r="B15" s="17">
        <f>B14/参数输入!B5-1</f>
        <v>0.7</v>
      </c>
    </row>
    <row r="16" spans="1:6">
      <c r="A16" t="s">
        <v>47</v>
      </c>
      <c r="B16" s="17">
        <f>(B14/参数输入!B5)^(1/参数输入!B7)-1</f>
        <v>0.30384048104052974</v>
      </c>
    </row>
    <row r="17" spans="1:3">
      <c r="A17" t="s">
        <v>48</v>
      </c>
      <c r="B17" s="11">
        <f>INDEX(参数输入!A9:A15,MATCH(0.5,参数输入!B9:B15,-1))</f>
        <v>350</v>
      </c>
    </row>
    <row r="18" spans="1:3">
      <c r="A18" t="s">
        <v>49</v>
      </c>
      <c r="B18" s="2" t="str">
        <f>INDEX(A4:A10,MATCH(MAX(C4:C10),C4:C10,0))&amp;" - "&amp;INDEX(B4:B10,MATCH(MAX(C4:C10),C4:C10,0))</f>
        <v>300 - 350</v>
      </c>
    </row>
    <row r="19" spans="1:3">
      <c r="A19" t="s">
        <v>50</v>
      </c>
      <c r="B19" s="5">
        <f>1-参数输入!B9</f>
        <v>0</v>
      </c>
      <c r="C19" t="s">
        <v>51</v>
      </c>
    </row>
    <row r="21" spans="1:3">
      <c r="A21" t="s">
        <v>52</v>
      </c>
      <c r="B21" s="9">
        <f>SQRT(SUMPRODUCT(C4:C10,(D4:D10-B15)^2))/SQRT(参数输入!B7)</f>
        <v>0.29895651857753497</v>
      </c>
      <c r="C21" t="s">
        <v>53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defaultColWidth="8.81640625" defaultRowHeight="14.5"/>
  <cols>
    <col min="1" max="1" width="34" customWidth="1"/>
    <col min="2" max="2" width="24" customWidth="1"/>
    <col min="3" max="3" width="14" customWidth="1"/>
    <col min="4" max="4" width="18" customWidth="1"/>
  </cols>
  <sheetData>
    <row r="1" spans="1:4" ht="24" customHeight="1">
      <c r="A1" s="15" t="s">
        <v>54</v>
      </c>
    </row>
    <row r="3" spans="1:4">
      <c r="A3" s="3" t="s">
        <v>55</v>
      </c>
      <c r="B3" s="3" t="s">
        <v>37</v>
      </c>
      <c r="C3" s="3" t="s">
        <v>56</v>
      </c>
      <c r="D3" s="3" t="s">
        <v>57</v>
      </c>
    </row>
    <row r="4" spans="1:4">
      <c r="A4" t="s">
        <v>58</v>
      </c>
      <c r="B4" s="9">
        <f>1-参数输入!B23</f>
        <v>9.9999999999999978E-2</v>
      </c>
      <c r="C4" s="10">
        <f>参数输入!B30</f>
        <v>1</v>
      </c>
      <c r="D4" s="13">
        <f t="shared" ref="D4:D10" si="0">B4*C4</f>
        <v>9.9999999999999978E-2</v>
      </c>
    </row>
    <row r="5" spans="1:4">
      <c r="A5" t="s">
        <v>59</v>
      </c>
      <c r="B5" s="9">
        <f>参数输入!B23-参数输入!B24</f>
        <v>0.20000000000000007</v>
      </c>
      <c r="C5" s="10">
        <f>(参数输入!A23+参数输入!A24)/2</f>
        <v>3.5</v>
      </c>
      <c r="D5" s="13">
        <f t="shared" si="0"/>
        <v>0.70000000000000018</v>
      </c>
    </row>
    <row r="6" spans="1:4">
      <c r="A6" t="s">
        <v>60</v>
      </c>
      <c r="B6" s="9">
        <f>参数输入!B24-参数输入!B25</f>
        <v>0.19999999999999996</v>
      </c>
      <c r="C6" s="10">
        <f>(参数输入!A24+参数输入!A25)/2</f>
        <v>4.5</v>
      </c>
      <c r="D6" s="13">
        <f t="shared" si="0"/>
        <v>0.8999999999999998</v>
      </c>
    </row>
    <row r="7" spans="1:4">
      <c r="A7" t="s">
        <v>61</v>
      </c>
      <c r="B7" s="9">
        <f>参数输入!B25-参数输入!B26</f>
        <v>9.9999999999999978E-2</v>
      </c>
      <c r="C7" s="10">
        <f>(参数输入!A25+参数输入!A26)/2</f>
        <v>5.5</v>
      </c>
      <c r="D7" s="13">
        <f t="shared" si="0"/>
        <v>0.54999999999999982</v>
      </c>
    </row>
    <row r="8" spans="1:4">
      <c r="A8" t="s">
        <v>62</v>
      </c>
      <c r="B8" s="9">
        <f>参数输入!B26-参数输入!B27</f>
        <v>0.10000000000000003</v>
      </c>
      <c r="C8" s="10">
        <f>(参数输入!A26+参数输入!A27)/2</f>
        <v>6.5</v>
      </c>
      <c r="D8" s="13">
        <f t="shared" si="0"/>
        <v>0.65000000000000024</v>
      </c>
    </row>
    <row r="9" spans="1:4">
      <c r="A9" t="s">
        <v>63</v>
      </c>
      <c r="B9" s="9">
        <f>参数输入!B27-参数输入!B28</f>
        <v>9.9999999999999978E-2</v>
      </c>
      <c r="C9" s="10">
        <f>(参数输入!A27+参数输入!A28)/2</f>
        <v>7.5</v>
      </c>
      <c r="D9" s="13">
        <f t="shared" si="0"/>
        <v>0.74999999999999978</v>
      </c>
    </row>
    <row r="10" spans="1:4">
      <c r="A10" t="s">
        <v>64</v>
      </c>
      <c r="B10" s="9">
        <f>参数输入!B28</f>
        <v>0.2</v>
      </c>
      <c r="C10" s="10">
        <f>参数输入!A28</f>
        <v>8</v>
      </c>
      <c r="D10" s="13">
        <f t="shared" si="0"/>
        <v>1.6</v>
      </c>
    </row>
    <row r="11" spans="1:4">
      <c r="A11" s="3" t="s">
        <v>42</v>
      </c>
      <c r="B11" s="5">
        <f>SUM(B4:B10)</f>
        <v>1</v>
      </c>
      <c r="C11" t="s">
        <v>65</v>
      </c>
      <c r="D11" s="18">
        <f>SUM(D4:D10)</f>
        <v>5.25</v>
      </c>
    </row>
    <row r="13" spans="1:4">
      <c r="A13" s="3" t="s">
        <v>44</v>
      </c>
    </row>
    <row r="14" spans="1:4">
      <c r="A14" t="s">
        <v>66</v>
      </c>
      <c r="B14" s="18">
        <f>D11</f>
        <v>5.25</v>
      </c>
    </row>
    <row r="15" spans="1:4">
      <c r="A15" t="s">
        <v>67</v>
      </c>
      <c r="B15" s="18">
        <f>参数输入!B19*B14+(1-参数输入!B19)*((1+参数输入!B20)^参数输入!B21)</f>
        <v>3.6264064</v>
      </c>
    </row>
    <row r="16" spans="1:4">
      <c r="A16" t="s">
        <v>68</v>
      </c>
      <c r="B16" s="17">
        <f>B15-1</f>
        <v>2.6264064</v>
      </c>
    </row>
    <row r="17" spans="1:3">
      <c r="A17" t="s">
        <v>69</v>
      </c>
      <c r="B17" s="17">
        <f>B15^(1/参数输入!B21)-1</f>
        <v>0.53635704951908747</v>
      </c>
    </row>
    <row r="18" spans="1:3">
      <c r="A18" t="s">
        <v>70</v>
      </c>
      <c r="B18" s="5">
        <f>1-参数输入!B19</f>
        <v>0.4</v>
      </c>
    </row>
    <row r="19" spans="1:3">
      <c r="A19" t="s">
        <v>71</v>
      </c>
      <c r="B19" s="8">
        <f>((1+参数输入!B20)^参数输入!B21)*参数输入!B5</f>
        <v>1191016.0000000002</v>
      </c>
      <c r="C19" t="s">
        <v>72</v>
      </c>
    </row>
    <row r="20" spans="1:3">
      <c r="A20" t="s">
        <v>73</v>
      </c>
      <c r="B20" s="2" t="str">
        <f>INDEX(A4:A10,MATCH(MAX(B4:B10),B4:B10,0))&amp;"（区间概率 "&amp;TEXT(MAX(B4:B10),"0.0%")&amp;"）"</f>
        <v>3 - 4 倍（区间概率 20.0%）</v>
      </c>
    </row>
    <row r="21" spans="1:3">
      <c r="A21" t="s">
        <v>74</v>
      </c>
      <c r="B21" s="13">
        <f>(1+参数输入!B20)^参数输入!B21</f>
        <v>1.1910160000000003</v>
      </c>
      <c r="C21" t="s">
        <v>75</v>
      </c>
    </row>
    <row r="23" spans="1:3">
      <c r="A23" s="3" t="s">
        <v>76</v>
      </c>
    </row>
    <row r="24" spans="1:3">
      <c r="A24" t="s">
        <v>77</v>
      </c>
      <c r="B24" s="9">
        <f>1-参数输入!B19</f>
        <v>0.4</v>
      </c>
      <c r="C24" s="10">
        <f>B21</f>
        <v>1.1910160000000003</v>
      </c>
    </row>
    <row r="25" spans="1:3">
      <c r="A25" t="s">
        <v>78</v>
      </c>
      <c r="B25" s="9">
        <f>参数输入!B19*B4</f>
        <v>5.9999999999999984E-2</v>
      </c>
      <c r="C25" s="10">
        <f t="shared" ref="C25:C31" si="1">C4</f>
        <v>1</v>
      </c>
    </row>
    <row r="26" spans="1:3">
      <c r="A26" t="s">
        <v>79</v>
      </c>
      <c r="B26" s="9">
        <f>参数输入!B19*B5</f>
        <v>0.12000000000000004</v>
      </c>
      <c r="C26" s="10">
        <f t="shared" si="1"/>
        <v>3.5</v>
      </c>
    </row>
    <row r="27" spans="1:3">
      <c r="A27" t="s">
        <v>80</v>
      </c>
      <c r="B27" s="9">
        <f>参数输入!B19*B6</f>
        <v>0.11999999999999997</v>
      </c>
      <c r="C27" s="10">
        <f t="shared" si="1"/>
        <v>4.5</v>
      </c>
    </row>
    <row r="28" spans="1:3">
      <c r="A28" t="s">
        <v>81</v>
      </c>
      <c r="B28" s="9">
        <f>参数输入!B19*B7</f>
        <v>5.9999999999999984E-2</v>
      </c>
      <c r="C28" s="10">
        <f t="shared" si="1"/>
        <v>5.5</v>
      </c>
    </row>
    <row r="29" spans="1:3">
      <c r="A29" t="s">
        <v>82</v>
      </c>
      <c r="B29" s="9">
        <f>参数输入!B19*B8</f>
        <v>6.0000000000000019E-2</v>
      </c>
      <c r="C29" s="10">
        <f t="shared" si="1"/>
        <v>6.5</v>
      </c>
    </row>
    <row r="30" spans="1:3">
      <c r="A30" t="s">
        <v>83</v>
      </c>
      <c r="B30" s="9">
        <f>参数输入!B19*B9</f>
        <v>5.9999999999999984E-2</v>
      </c>
      <c r="C30" s="10">
        <f t="shared" si="1"/>
        <v>7.5</v>
      </c>
    </row>
    <row r="31" spans="1:3">
      <c r="A31" t="s">
        <v>84</v>
      </c>
      <c r="B31" s="9">
        <f>参数输入!B19*B10</f>
        <v>0.12</v>
      </c>
      <c r="C31" s="10">
        <f t="shared" si="1"/>
        <v>8</v>
      </c>
    </row>
    <row r="32" spans="1:3">
      <c r="A32" t="s">
        <v>52</v>
      </c>
      <c r="B32" s="9">
        <f>SQRT(SUMPRODUCT(B24:B31,(C24:C31-B15)^2))/SQRT(参数输入!B21)</f>
        <v>1.5035052673604039</v>
      </c>
      <c r="C32" t="s">
        <v>85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>
      <selection activeCell="A5" sqref="A5"/>
    </sheetView>
  </sheetViews>
  <sheetFormatPr defaultColWidth="8.81640625" defaultRowHeight="14.5"/>
  <cols>
    <col min="1" max="1" width="40" customWidth="1"/>
    <col min="2" max="2" width="16" customWidth="1"/>
    <col min="3" max="3" width="43.6328125" bestFit="1" customWidth="1"/>
    <col min="4" max="7" width="16" customWidth="1"/>
  </cols>
  <sheetData>
    <row r="1" spans="1:5" ht="24" customHeight="1">
      <c r="A1" s="15" t="s">
        <v>86</v>
      </c>
    </row>
    <row r="3" spans="1:5">
      <c r="A3" s="3" t="s">
        <v>87</v>
      </c>
    </row>
    <row r="4" spans="1:5">
      <c r="A4" t="s">
        <v>88</v>
      </c>
      <c r="B4" s="1" t="s">
        <v>89</v>
      </c>
      <c r="C4" t="s">
        <v>90</v>
      </c>
      <c r="D4" t="s">
        <v>91</v>
      </c>
      <c r="E4" s="4">
        <v>0.6</v>
      </c>
    </row>
    <row r="5" spans="1:5">
      <c r="A5" t="s">
        <v>92</v>
      </c>
      <c r="B5" s="5">
        <f>IF((A公司分析!B16-E7*A公司分析!B21)+(B公司分析!B17-E7*B公司分析!B32)&lt;=0,0.9,MAX(0.1,MIN(0.9,(A公司分析!B16-E7*A公司分析!B21)/((A公司分析!B16-E7*A公司分析!B21)+(B公司分析!B17-E7*B公司分析!B32)))))</f>
        <v>0.71513472362338182</v>
      </c>
      <c r="C5" t="s">
        <v>93</v>
      </c>
      <c r="D5" t="s">
        <v>94</v>
      </c>
      <c r="E5" s="4">
        <v>0.3</v>
      </c>
    </row>
    <row r="6" spans="1:5">
      <c r="A6" t="s">
        <v>95</v>
      </c>
      <c r="B6" s="5">
        <f>1-B5</f>
        <v>0.28486527637661818</v>
      </c>
      <c r="C6" t="s">
        <v>96</v>
      </c>
      <c r="D6" t="s">
        <v>97</v>
      </c>
      <c r="E6" s="4">
        <v>0.1</v>
      </c>
    </row>
    <row r="7" spans="1:5">
      <c r="A7" t="s">
        <v>98</v>
      </c>
      <c r="B7" s="5">
        <f>B5</f>
        <v>0.71513472362338182</v>
      </c>
      <c r="C7" t="s">
        <v>99</v>
      </c>
      <c r="D7" t="s">
        <v>100</v>
      </c>
      <c r="E7" s="5">
        <f>IF(B4="稳健",E4,IF(B4="进取",E6,E5))</f>
        <v>0.3</v>
      </c>
    </row>
    <row r="8" spans="1:5">
      <c r="A8" t="s">
        <v>101</v>
      </c>
      <c r="B8" s="5">
        <f>1-B7</f>
        <v>0.28486527637661818</v>
      </c>
    </row>
    <row r="9" spans="1:5">
      <c r="A9" t="s">
        <v>102</v>
      </c>
      <c r="B9" s="8">
        <f>参数输入!B5*B7</f>
        <v>715134.72362338181</v>
      </c>
    </row>
    <row r="10" spans="1:5">
      <c r="A10" t="s">
        <v>103</v>
      </c>
      <c r="B10" s="8">
        <f>参数输入!B5*B8</f>
        <v>284865.27637661819</v>
      </c>
    </row>
    <row r="12" spans="1:5">
      <c r="A12" s="3" t="s">
        <v>104</v>
      </c>
    </row>
    <row r="13" spans="1:5">
      <c r="A13" t="s">
        <v>105</v>
      </c>
      <c r="B13" s="8">
        <f>B9*(1+A公司分析!B15)</f>
        <v>1215729.0301597491</v>
      </c>
    </row>
    <row r="14" spans="1:5">
      <c r="A14" t="s">
        <v>106</v>
      </c>
      <c r="B14" s="8">
        <f>B10*B公司分析!B15</f>
        <v>1033037.261389937</v>
      </c>
    </row>
    <row r="15" spans="1:5">
      <c r="A15" t="s">
        <v>107</v>
      </c>
      <c r="B15" s="16">
        <f>B13+B14</f>
        <v>2248766.2915496863</v>
      </c>
    </row>
    <row r="16" spans="1:5">
      <c r="A16" t="s">
        <v>108</v>
      </c>
      <c r="B16" s="17">
        <f>B15/参数输入!B5-1</f>
        <v>1.2487662915496864</v>
      </c>
    </row>
    <row r="17" spans="1:7">
      <c r="A17" t="s">
        <v>109</v>
      </c>
      <c r="B17" s="17">
        <f>B7*A公司分析!B16+B8*B公司分析!B17</f>
        <v>0.37007637758231693</v>
      </c>
    </row>
    <row r="19" spans="1:7">
      <c r="A19" s="3" t="s">
        <v>110</v>
      </c>
    </row>
    <row r="20" spans="1:7">
      <c r="A20" s="3" t="s">
        <v>111</v>
      </c>
      <c r="B20" s="3" t="s">
        <v>112</v>
      </c>
      <c r="C20" s="3" t="s">
        <v>113</v>
      </c>
      <c r="D20" s="3" t="s">
        <v>114</v>
      </c>
      <c r="E20" s="3" t="s">
        <v>115</v>
      </c>
      <c r="F20" s="3" t="s">
        <v>116</v>
      </c>
      <c r="G20" s="3" t="s">
        <v>117</v>
      </c>
    </row>
    <row r="21" spans="1:7">
      <c r="A21" t="s">
        <v>118</v>
      </c>
      <c r="B21" s="11">
        <f>参数输入!A10</f>
        <v>250</v>
      </c>
      <c r="C21" s="8">
        <f>$B$9*(B21/参数输入!B4)</f>
        <v>893918.40452922729</v>
      </c>
      <c r="D21" s="10">
        <f>(1+参数输入!B20)^参数输入!B21</f>
        <v>1.1910160000000003</v>
      </c>
      <c r="E21" s="8">
        <f>$B$10*D21</f>
        <v>339279.10200897435</v>
      </c>
      <c r="F21" s="12">
        <f>C21+E21</f>
        <v>1233197.5065382016</v>
      </c>
      <c r="G21" s="5">
        <f>F21/参数输入!B5-1</f>
        <v>0.23319750653820148</v>
      </c>
    </row>
    <row r="22" spans="1:7">
      <c r="A22" t="s">
        <v>119</v>
      </c>
      <c r="B22" s="11">
        <f>参数输入!A12</f>
        <v>350</v>
      </c>
      <c r="C22" s="8">
        <f>$B$9*(B22/参数输入!B4)</f>
        <v>1251485.7663409181</v>
      </c>
      <c r="D22" s="10">
        <f>参数输入!A24</f>
        <v>4</v>
      </c>
      <c r="E22" s="8">
        <f>$B$10*D22</f>
        <v>1139461.1055064728</v>
      </c>
      <c r="F22" s="12">
        <f>C22+E22</f>
        <v>2390946.8718473911</v>
      </c>
      <c r="G22" s="5">
        <f>F22/参数输入!B5-1</f>
        <v>1.3909468718473912</v>
      </c>
    </row>
    <row r="23" spans="1:7">
      <c r="A23" t="s">
        <v>120</v>
      </c>
      <c r="B23" s="11">
        <f>参数输入!A14</f>
        <v>450</v>
      </c>
      <c r="C23" s="8">
        <f>$B$9*(B23/参数输入!B4)</f>
        <v>1609053.1281526091</v>
      </c>
      <c r="D23" s="10">
        <f>参数输入!A26</f>
        <v>6</v>
      </c>
      <c r="E23" s="8">
        <f>$B$10*D23</f>
        <v>1709191.6582597091</v>
      </c>
      <c r="F23" s="12">
        <f>C23+E23</f>
        <v>3318244.7864123182</v>
      </c>
      <c r="G23" s="5">
        <f>F23/参数输入!B5-1</f>
        <v>2.3182447864123183</v>
      </c>
    </row>
    <row r="25" spans="1:7">
      <c r="A25" s="3" t="s">
        <v>121</v>
      </c>
    </row>
    <row r="26" spans="1:7">
      <c r="A26" s="3" t="str">
        <f>"1. 收益对比：A公司期望年化 "&amp;TEXT(A公司分析!B16,"0.0%")&amp;"，B公司综合期望年化 "&amp;TEXT(B公司分析!B17,"0.0%")&amp;IF(A公司分析!B16&gt;=B公司分析!B17,"，A公司占优但天花板有限；","，B公司弹性更高但伴随失败风险；")&amp;"B公司综合期望倍数 "&amp;TEXT(B公司分析!B15,"0.00")&amp;" 倍。"</f>
        <v>1. 收益对比：A公司期望年化 30.4%，B公司综合期望年化 53.6%，B公司弹性更高但伴随失败风险；B公司综合期望倍数 3.63 倍。</v>
      </c>
    </row>
    <row r="27" spans="1:7">
      <c r="A27" s="3" t="str">
        <f>"2. 配置建议（"&amp;B4&amp;"型，λ="&amp;TEXT(E7,"0.0%")&amp;"）：按评分「期望年化收益 − λ×年化波动率」自动计算，推荐 A "&amp;TEXT(B5,"0%")&amp;" / B "&amp;TEXT(B6,"0%")&amp;"；当前实际配置 A "&amp;TEXT(B7,"0%")&amp;" / B "&amp;TEXT(B8,"0%")&amp;IF(B7=B5,"，与推荐一致。","，已手动覆盖推荐。")</f>
        <v>2. 配置建议（平衡型，λ=30.0%）：按评分「期望年化收益 − λ×年化波动率」自动计算，推荐 A 72% / B 28%；当前实际配置 A 72% / B 28%，与推荐一致。</v>
      </c>
    </row>
    <row r="28" spans="1:7">
      <c r="A28" s="3" t="str">
        <f>"3. 底线测试：若A仅跌至 "&amp;TEXT(参数输入!A10,"0")&amp;" 元且B上市失败（退还本金+补偿利息），组合期末约 "&amp;TEXT(F21,"#,##0")&amp;" 元（总收益率 "&amp;TEXT(G21,"0.0%")&amp;"）；B失败情形已有保本+利息保障，回撤主要来自A的股价假设。"</f>
        <v>3. 底线测试：若A仅跌至 250 元且B上市失败（退还本金+补偿利息），组合期末约 1,233,198 元（总收益率 23.3%）；B失败情形已有保本+利息保障，回撤主要来自A的股价假设。</v>
      </c>
    </row>
    <row r="29" spans="1:7">
      <c r="A29" s="3" t="str">
        <f>"4. 乐观空间：A达 "&amp;TEXT(参数输入!A14,"0")&amp;" 元、B达 "&amp;TEXT(参数输入!A26,"0")&amp;" 倍时，组合期末约 "&amp;TEXT(F23,"#,##0")&amp;" 元（总收益率 "&amp;TEXT(G23,"0.0%")&amp;"）。"</f>
        <v>4. 乐观空间：A达 450 元、B达 6 倍时，组合期末约 3,318,245 元（总收益率 231.8%）。</v>
      </c>
    </row>
    <row r="30" spans="1:7">
      <c r="A30" s="3" t="str">
        <f>"5. 结论：评分法下推荐 A "&amp;TEXT(B5,"0%")&amp;" / B "&amp;TEXT(B6,"0%")&amp;"。B公司年化波动率约 "&amp;TEXT(B公司分析!B32,"0.0%")&amp;"，为A公司（"&amp;TEXT(A公司分析!B21,"0.0%")&amp;"）的 "&amp;TEXT(IF(A公司分析!B21=0,0,B公司分析!B32/A公司分析!B21),"0.0")&amp;" 倍，虽期望年化更高（"&amp;TEXT(B公司分析!B17,"0.0%")&amp;" vs "&amp;TEXT(A公司分析!B16,"0.0%")&amp;"），仍需以评分和自身流动性需求为准；B公司基础数据（成功率、倍数、失败利息）任一变化，推荐比例自动重算。"</f>
        <v>5. 结论：评分法下推荐 A 72% / B 28%。B公司年化波动率约 150.4%，为A公司（29.9%）的 5.0 倍，虽期望年化更高（53.6% vs 30.4%），仍需以评分和自身流动性需求为准；B公司基础数据（成功率、倍数、失败利息）任一变化，推荐比例自动重算。</v>
      </c>
    </row>
    <row r="31" spans="1:7">
      <c r="A31" t="s">
        <v>122</v>
      </c>
    </row>
  </sheetData>
  <phoneticPr fontId="6" type="noConversion"/>
  <dataValidations count="1">
    <dataValidation type="list" allowBlank="1" showInputMessage="1" showErrorMessage="1" sqref="B4" xr:uid="{00000000-0002-0000-0400-000000000000}">
      <formula1>"稳健,平衡,进取"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参数输入</vt:lpstr>
      <vt:lpstr>A公司分析</vt:lpstr>
      <vt:lpstr>B公司分析</vt:lpstr>
      <vt:lpstr>组合配置与结论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盛 楠翔</cp:lastModifiedBy>
  <dcterms:created xsi:type="dcterms:W3CDTF">2026-09-20T16:02:55Z</dcterms:created>
  <dcterms:modified xsi:type="dcterms:W3CDTF">2026-09-21T10:03:14Z</dcterms:modified>
</cp:coreProperties>
</file>